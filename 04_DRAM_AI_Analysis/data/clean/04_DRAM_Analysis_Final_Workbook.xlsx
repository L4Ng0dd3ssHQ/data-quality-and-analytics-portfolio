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7ade69915cbca5/PowerBI_Practice/01_Datasets/"/>
    </mc:Choice>
  </mc:AlternateContent>
  <xr:revisionPtr revIDLastSave="0" documentId="8_{D0FA4C45-8A71-44BB-8F9A-130F5888F760}" xr6:coauthVersionLast="47" xr6:coauthVersionMax="47" xr10:uidLastSave="{00000000-0000-0000-0000-000000000000}"/>
  <bookViews>
    <workbookView xWindow="59805" yWindow="1845" windowWidth="19425" windowHeight="10305" xr2:uid="{F7E88870-EEB9-4129-8419-4ED93C05D362}"/>
  </bookViews>
  <sheets>
    <sheet name="DRAM_Pricing" sheetId="1" r:id="rId1"/>
    <sheet name="Enterprise_Pricing" sheetId="3" r:id="rId2"/>
    <sheet name="Hyperscaler_Capex" sheetId="4" r:id="rId3"/>
  </sheets>
  <calcPr calcId="0"/>
</workbook>
</file>

<file path=xl/calcChain.xml><?xml version="1.0" encoding="utf-8"?>
<calcChain xmlns="http://schemas.openxmlformats.org/spreadsheetml/2006/main">
  <c r="B2" i="4" l="1"/>
  <c r="C2" i="4"/>
  <c r="D2" i="4"/>
  <c r="B3" i="4"/>
  <c r="D3" i="4"/>
  <c r="E3" i="4"/>
  <c r="F3" i="4"/>
  <c r="B4" i="4"/>
  <c r="D4" i="4"/>
  <c r="B5" i="4"/>
  <c r="D5" i="4"/>
  <c r="E5" i="4"/>
  <c r="B6" i="4"/>
  <c r="C6" i="4"/>
  <c r="D6" i="4"/>
  <c r="E6" i="4"/>
  <c r="B7" i="4"/>
  <c r="C7" i="4"/>
  <c r="D7" i="4"/>
  <c r="E7" i="4"/>
  <c r="F5" i="4" l="1"/>
  <c r="G5" i="4" s="1"/>
  <c r="F2" i="4"/>
  <c r="G3" i="4" s="1"/>
  <c r="F6" i="4"/>
  <c r="F4" i="4"/>
  <c r="G4" i="4" s="1"/>
  <c r="F7" i="4"/>
  <c r="G7" i="4" s="1"/>
  <c r="G6" i="4" l="1"/>
</calcChain>
</file>

<file path=xl/sharedStrings.xml><?xml version="1.0" encoding="utf-8"?>
<sst xmlns="http://schemas.openxmlformats.org/spreadsheetml/2006/main" count="398" uniqueCount="159">
  <si>
    <t>Year</t>
  </si>
  <si>
    <t>Quarter</t>
  </si>
  <si>
    <t>DDR Type</t>
  </si>
  <si>
    <t>Price per GB USD (Low)</t>
  </si>
  <si>
    <t>Price per GB USD (High)</t>
  </si>
  <si>
    <t>Price per TB USD (Low)</t>
  </si>
  <si>
    <t>Price per TB USD (High)</t>
  </si>
  <si>
    <t>Market Type</t>
  </si>
  <si>
    <t>Source</t>
  </si>
  <si>
    <t>Notes</t>
  </si>
  <si>
    <t>Price_per_GB_Mid</t>
  </si>
  <si>
    <t>Date</t>
  </si>
  <si>
    <t>Q4</t>
  </si>
  <si>
    <t>DDR3</t>
  </si>
  <si>
    <t>Retail (Legacy)</t>
  </si>
  <si>
    <t>Pangoly/Tom's Hardware</t>
  </si>
  <si>
    <t>HyperX FURY 8GB DDR3 1866MHz peaked at $96.41 on Oct 23 2021</t>
  </si>
  <si>
    <t>2021-Q4</t>
  </si>
  <si>
    <t>DDR4</t>
  </si>
  <si>
    <t>Retail</t>
  </si>
  <si>
    <t>Tom's Hardware/User Reports</t>
  </si>
  <si>
    <t>32GB kits ranged $200-300; strong post-COVID demand</t>
  </si>
  <si>
    <t>DDR5</t>
  </si>
  <si>
    <t>Retail (Launch)</t>
  </si>
  <si>
    <t>Tom's Hardware</t>
  </si>
  <si>
    <t>DDR5 launched Nov 4 2021 with Intel 12th gen; limited availability</t>
  </si>
  <si>
    <t>Q2</t>
  </si>
  <si>
    <t>Retail (Declining)</t>
  </si>
  <si>
    <t>TrendForce/PCPartPicker</t>
  </si>
  <si>
    <t>DRAM contract prices began QoQ decline of 3-8% from Q4 2021</t>
  </si>
  <si>
    <t>2022-Q2</t>
  </si>
  <si>
    <t>Retail (Crash Beginning)</t>
  </si>
  <si>
    <t>GamersNexus</t>
  </si>
  <si>
    <t>Global DRAM revenue fell 30% QoQ in Q3 2022; production cuts begin</t>
  </si>
  <si>
    <t>4.6899999999999995</t>
  </si>
  <si>
    <t>2022-Q4</t>
  </si>
  <si>
    <t>Market Trends</t>
  </si>
  <si>
    <t>Premium over DDR4 narrowing as production ramped</t>
  </si>
  <si>
    <t>Various</t>
  </si>
  <si>
    <t>Continued phase-out; spot market volatile</t>
  </si>
  <si>
    <t>Secondary Market</t>
  </si>
  <si>
    <t>Pangoly</t>
  </si>
  <si>
    <t>HyperX FURY 8GB DDR3 1866MHz hit lowest price of $15.60 on May 10 2023</t>
  </si>
  <si>
    <t>2023-Q2</t>
  </si>
  <si>
    <t>Retail (Bottom)</t>
  </si>
  <si>
    <t>Tom's Hardware/PCPartPicker</t>
  </si>
  <si>
    <t>Historic low; 31 weeks of supplier stock on hand in early 2023; 32GB kits $60-90</t>
  </si>
  <si>
    <t>2.3449999999999998</t>
  </si>
  <si>
    <t>Multiple Sources</t>
  </si>
  <si>
    <t>32GB kits $100-140; still premium over DDR4</t>
  </si>
  <si>
    <t>Q1</t>
  </si>
  <si>
    <t>Contract</t>
  </si>
  <si>
    <t>TrendForce</t>
  </si>
  <si>
    <t>Contract prices up 13-18% QoQ; PC DRAM DDR4+DDR5 up 10-15%</t>
  </si>
  <si>
    <t>2024-Q1</t>
  </si>
  <si>
    <t>DDR5 poised to lead pricing rally; unfilled orders noted</t>
  </si>
  <si>
    <t>Q3</t>
  </si>
  <si>
    <t>Retail (Stable)</t>
  </si>
  <si>
    <t>PCPartPicker</t>
  </si>
  <si>
    <t>CXMT flooded market with cheap DDR4 briefly causing oversupply; DDR4 prices fell from May 2024</t>
  </si>
  <si>
    <t>2024-Q3</t>
  </si>
  <si>
    <t>Retail (Best Value)</t>
  </si>
  <si>
    <t>Amazon/Newegg</t>
  </si>
  <si>
    <t>32GB Crucial Pro DDR5-6000 stable at $80-100 on Amazon through 2024</t>
  </si>
  <si>
    <t>Chinese govt directed CXMT to convert DDR4 production to DDR5 in Q4 2024</t>
  </si>
  <si>
    <t>2024-Q4</t>
  </si>
  <si>
    <t>Multiple Retailers</t>
  </si>
  <si>
    <t>Price transition from decrease to increase began mid-March 2025</t>
  </si>
  <si>
    <t>Retail (Surge Begins)</t>
  </si>
  <si>
    <t>PCServerAndParts</t>
  </si>
  <si>
    <t>Majors shifted capacity to DDR5/HBM; undersupply kicked in; near-tripling in 2 months</t>
  </si>
  <si>
    <t>2025-Q1</t>
  </si>
  <si>
    <t>G.SKILL Flare X5 32GB kit ~$87 early 2025</t>
  </si>
  <si>
    <t>Spot Market</t>
  </si>
  <si>
    <t>DRAMeXchange/TrendForce</t>
  </si>
  <si>
    <t>DDR4 reached price parity with DDR5 by May 2025; fixed transaction price for DDR4 8Gb hit $1.65 (+22.22% in April)</t>
  </si>
  <si>
    <t>2025-Q2</t>
  </si>
  <si>
    <t>DDR5 climbed steadily; 32GB DDR5-6000 kits $110-140</t>
  </si>
  <si>
    <t>Spot (+158%)</t>
  </si>
  <si>
    <t>DDR4 16Gb chip hit $9.17 in Aug (+7% MoM); Q3 contract prices +40-45%; spot doubled in one week at one point</t>
  </si>
  <si>
    <t>2025-Q3</t>
  </si>
  <si>
    <t>Spot (+307%)</t>
  </si>
  <si>
    <t>16Gb DDR5 chip averaged $6.84 on Sep 20; spiked to $24.83 by Nov 19</t>
  </si>
  <si>
    <t>Secondary (+219%)</t>
  </si>
  <si>
    <t>Neowin/3DCenter</t>
  </si>
  <si>
    <t>+219% vs July 2025 baseline (~3.2x); minimal new production; used market dominant</t>
  </si>
  <si>
    <t>2025-Q4</t>
  </si>
  <si>
    <t>Tom's Hardware/Amazon</t>
  </si>
  <si>
    <t>32GB kits $150-180 (were $60-90 in Oct 2025); DDR4-3200 16GB: $50 May â†’ $120 Dec (+140%); DDR4-3600 64GB: $180 May â†’ $470 Dec (+161%)</t>
  </si>
  <si>
    <t>Amazon/Newegg/ResellCalendar</t>
  </si>
  <si>
    <t>32GB kits $350+ (were $100-200 in Oct); G.SKILL Flare X5 32GB hit $399; DDR5-6000 32GB: $120 May â†’ $410 Dec (+242%); DDR5-5600 64GB: $180 May â†’ $710 Dec (+294%)</t>
  </si>
  <si>
    <t>Samsung</t>
  </si>
  <si>
    <t>Samsung raised DDR5 contract price 100%+ to $19.50/chip (16Gb=2GB; ~$9.75/GB)</t>
  </si>
  <si>
    <t>32GB kit at $184 (was $95 mid-2025; +94%)</t>
  </si>
  <si>
    <t>Confirmed</t>
  </si>
  <si>
    <t>USD</t>
  </si>
  <si>
    <t>US Market</t>
  </si>
  <si>
    <t>Consumer retail</t>
  </si>
  <si>
    <t>32GB kit at $161 (was $70 mid-2025; +130%)</t>
  </si>
  <si>
    <t>128GB module at $1194; ~50% YoY increase; 64GB/96GB up 30%+</t>
  </si>
  <si>
    <t>Enterprise contract 128GB</t>
  </si>
  <si>
    <t>16GB module at $135; ~50% YoY increase</t>
  </si>
  <si>
    <t>Enterprise contract 16GB</t>
  </si>
  <si>
    <t>64GB PC5-44800B-R ECC Registered 2Rx4 @ â‚¬505/module; 1TB = 16x modules = â‚¬8080</t>
  </si>
  <si>
    <t>EUR</t>
  </si>
  <si>
    <t>Bacloud EU</t>
  </si>
  <si>
    <t>Enterprise server ECC</t>
  </si>
  <si>
    <t>32GB PC4-25600 ECC Registered 2Rx4 @ â‚¬259/module; 1TB = 32x modules = â‚¬8288</t>
  </si>
  <si>
    <t>16Gb chip averaged $6.84 on Sep 20 rising to $24.83 by Nov 19</t>
  </si>
  <si>
    <t>Spot</t>
  </si>
  <si>
    <t>Chip spot</t>
  </si>
  <si>
    <t>+158% sequential increase; doubled in one week at one point</t>
  </si>
  <si>
    <t>Crisis</t>
  </si>
  <si>
    <t>32GB DDR5-6000 kits $110-140</t>
  </si>
  <si>
    <t>Climbing</t>
  </si>
  <si>
    <t>DDR4 reached price parity with DDR5 by May 2025</t>
  </si>
  <si>
    <t>Parity with DDR5</t>
  </si>
  <si>
    <t>G.SKILL Flare X5 32GB ~$87 early 2025</t>
  </si>
  <si>
    <t>Pre-surge</t>
  </si>
  <si>
    <t>Majors shifted to DDR5/HBM; undersupply kicked in</t>
  </si>
  <si>
    <t>Surge begins</t>
  </si>
  <si>
    <t>8Gb chip at $1.75; 6% MoM decline in Jan 2025</t>
  </si>
  <si>
    <t>Industry Reports</t>
  </si>
  <si>
    <t>Wholesale chip</t>
  </si>
  <si>
    <t>32GB Crucial Pro DDR5-6000 $80-100 on Amazon</t>
  </si>
  <si>
    <t>Best value period</t>
  </si>
  <si>
    <t>CXMT market entry suppressed prices</t>
  </si>
  <si>
    <t>Stable</t>
  </si>
  <si>
    <t>Contract prices up 13-18% QoQ</t>
  </si>
  <si>
    <t>Recovering</t>
  </si>
  <si>
    <t>2023-Q1</t>
  </si>
  <si>
    <t>Still maintained premium over DDR4</t>
  </si>
  <si>
    <t>Low period</t>
  </si>
  <si>
    <t>31 weeks of supplier stock; post-oversupply bottom</t>
  </si>
  <si>
    <t>General Market</t>
  </si>
  <si>
    <t>Historic low</t>
  </si>
  <si>
    <t>Stabilizing</t>
  </si>
  <si>
    <t>Oversupply developing; inventory glut period</t>
  </si>
  <si>
    <t>Declining</t>
  </si>
  <si>
    <t>32GB kits $200-300; strong post-COVID demand</t>
  </si>
  <si>
    <t>Historic peak</t>
  </si>
  <si>
    <t>Data Quality</t>
  </si>
  <si>
    <t>Currency</t>
  </si>
  <si>
    <t>Vendor/Source</t>
  </si>
  <si>
    <t>Price Point</t>
  </si>
  <si>
    <t>https://www.sec.gov/edgar</t>
  </si>
  <si>
    <t>Primary_Driver_Note</t>
  </si>
  <si>
    <t>YoY_Growth_Pct</t>
  </si>
  <si>
    <t>Total_4_Hyperscalers_B</t>
  </si>
  <si>
    <t>Meta_Capex_B</t>
  </si>
  <si>
    <t>Google_Cloud_Capex_B</t>
  </si>
  <si>
    <t>Microsoft_Azure_Capex_B</t>
  </si>
  <si>
    <t>Amazon_AWS_Capex_B</t>
  </si>
  <si>
    <t>Pre-AI baseline</t>
  </si>
  <si>
    <t>Cloud expansion post-COVID</t>
  </si>
  <si>
    <t>Hyperscaler build-out peaks pre-slowdown</t>
  </si>
  <si>
    <t>Pullback year — then AI pivot late 2023</t>
  </si>
  <si>
    <t>AI GPU and memory procurement surge</t>
  </si>
  <si>
    <t>AI infrastructure arms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</si>
</sst>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.0&quot; B&quot;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sz val="11"/>
      <name val="Aptos Narrow"/>
      <family val="2"/>
    </font>
    <font>
      <sz val="10"/>
      <name val="Aptos Narrow"/>
      <family val="2"/>
    </font>
    <font>
      <u/>
      <sz val="11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BE9E7"/>
      </patternFill>
    </fill>
    <fill>
      <patternFill patternType="solid">
        <fgColor theme="0"/>
        <bgColor rgb="FF7F6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quotePrefix="1"/>
    <xf numFmtId="0" fontId="18" fillId="0" borderId="0" xfId="42"/>
    <xf numFmtId="0" fontId="20" fillId="33" borderId="0" xfId="42" applyFont="1" applyFill="1"/>
    <xf numFmtId="0" fontId="20" fillId="0" borderId="0" xfId="42" applyFont="1"/>
    <xf numFmtId="0" fontId="21" fillId="35" borderId="10" xfId="42" applyFont="1" applyFill="1" applyBorder="1" applyAlignment="1">
      <alignment horizontal="center" vertical="center"/>
    </xf>
    <xf numFmtId="0" fontId="22" fillId="34" borderId="10" xfId="42" applyFont="1" applyFill="1" applyBorder="1" applyAlignment="1">
      <alignment horizontal="center" vertical="center"/>
    </xf>
    <xf numFmtId="165" fontId="22" fillId="34" borderId="10" xfId="42" applyNumberFormat="1" applyFont="1" applyFill="1" applyBorder="1" applyAlignment="1">
      <alignment horizontal="center" vertical="center"/>
    </xf>
    <xf numFmtId="0" fontId="22" fillId="34" borderId="10" xfId="42" applyFont="1" applyFill="1" applyBorder="1" applyAlignment="1">
      <alignment horizontal="left" vertical="center"/>
    </xf>
    <xf numFmtId="0" fontId="21" fillId="0" borderId="0" xfId="42" applyFont="1"/>
    <xf numFmtId="164" fontId="22" fillId="34" borderId="10" xfId="42" applyNumberFormat="1" applyFont="1" applyFill="1" applyBorder="1" applyAlignment="1">
      <alignment horizontal="center" vertical="center"/>
    </xf>
    <xf numFmtId="0" fontId="23" fillId="33" borderId="0" xfId="43" applyFont="1" applyFill="1"/>
    <xf numFmtId="0" fontId="21" fillId="33" borderId="0" xfId="42" applyFont="1" applyFill="1"/>
    <xf numFmtId="0" fontId="0" fillId="0" borderId="0" xfId="0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A2FD214-C380-4FCA-9E9B-D667F58641E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c.gov/edg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C7A3-C0E4-455A-A271-F9B815C58718}">
  <dimension ref="A1:L27"/>
  <sheetViews>
    <sheetView tabSelected="1" workbookViewId="0">
      <selection activeCell="D4" sqref="D4"/>
    </sheetView>
  </sheetViews>
  <sheetFormatPr defaultRowHeight="15" x14ac:dyDescent="0.25"/>
  <cols>
    <col min="4" max="4" width="21.140625" bestFit="1" customWidth="1"/>
    <col min="5" max="5" width="21.85546875" bestFit="1" customWidth="1"/>
    <col min="6" max="6" width="20.85546875" bestFit="1" customWidth="1"/>
    <col min="7" max="7" width="21.5703125" bestFit="1" customWidth="1"/>
    <col min="8" max="8" width="22.5703125" bestFit="1" customWidth="1"/>
    <col min="9" max="9" width="30.42578125" bestFit="1" customWidth="1"/>
    <col min="10" max="10" width="151.140625" bestFit="1" customWidth="1"/>
    <col min="11" max="11" width="19.42578125" bestFit="1" customWidth="1"/>
  </cols>
  <sheetData>
    <row r="1" spans="1:12" s="13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</row>
    <row r="2" spans="1:12" x14ac:dyDescent="0.25">
      <c r="A2">
        <v>2021</v>
      </c>
      <c r="B2" t="s">
        <v>12</v>
      </c>
      <c r="C2" t="s">
        <v>13</v>
      </c>
      <c r="D2">
        <v>12</v>
      </c>
      <c r="E2">
        <v>12</v>
      </c>
      <c r="F2">
        <v>12000</v>
      </c>
      <c r="G2">
        <v>12000</v>
      </c>
      <c r="H2" t="s">
        <v>14</v>
      </c>
      <c r="I2" t="s">
        <v>15</v>
      </c>
      <c r="J2" t="s">
        <v>16</v>
      </c>
      <c r="K2">
        <v>12</v>
      </c>
      <c r="L2" t="s">
        <v>17</v>
      </c>
    </row>
    <row r="3" spans="1:12" x14ac:dyDescent="0.25">
      <c r="A3">
        <v>2021</v>
      </c>
      <c r="B3" t="s">
        <v>12</v>
      </c>
      <c r="C3" t="s">
        <v>18</v>
      </c>
      <c r="D3">
        <v>6.25</v>
      </c>
      <c r="E3">
        <v>9.3800000000000008</v>
      </c>
      <c r="F3">
        <v>6250</v>
      </c>
      <c r="G3">
        <v>9380</v>
      </c>
      <c r="H3" t="s">
        <v>19</v>
      </c>
      <c r="I3" t="s">
        <v>20</v>
      </c>
      <c r="J3" t="s">
        <v>21</v>
      </c>
      <c r="K3">
        <v>7.8150000000000004</v>
      </c>
      <c r="L3" t="s">
        <v>17</v>
      </c>
    </row>
    <row r="4" spans="1:12" x14ac:dyDescent="0.25">
      <c r="A4">
        <v>2021</v>
      </c>
      <c r="B4" t="s">
        <v>12</v>
      </c>
      <c r="C4" t="s">
        <v>22</v>
      </c>
      <c r="D4">
        <v>10</v>
      </c>
      <c r="E4">
        <v>15</v>
      </c>
      <c r="F4">
        <v>10000</v>
      </c>
      <c r="G4">
        <v>15000</v>
      </c>
      <c r="H4" t="s">
        <v>23</v>
      </c>
      <c r="I4" t="s">
        <v>24</v>
      </c>
      <c r="J4" t="s">
        <v>25</v>
      </c>
      <c r="K4">
        <v>12.5</v>
      </c>
      <c r="L4" t="s">
        <v>17</v>
      </c>
    </row>
    <row r="5" spans="1:12" x14ac:dyDescent="0.25">
      <c r="A5">
        <v>2022</v>
      </c>
      <c r="B5" t="s">
        <v>26</v>
      </c>
      <c r="C5" t="s">
        <v>18</v>
      </c>
      <c r="D5">
        <v>5</v>
      </c>
      <c r="E5">
        <v>7.5</v>
      </c>
      <c r="F5">
        <v>5000</v>
      </c>
      <c r="G5">
        <v>7500</v>
      </c>
      <c r="H5" t="s">
        <v>27</v>
      </c>
      <c r="I5" t="s">
        <v>28</v>
      </c>
      <c r="J5" t="s">
        <v>29</v>
      </c>
      <c r="K5">
        <v>6.25</v>
      </c>
      <c r="L5" t="s">
        <v>30</v>
      </c>
    </row>
    <row r="6" spans="1:12" x14ac:dyDescent="0.25">
      <c r="A6">
        <v>2022</v>
      </c>
      <c r="B6" t="s">
        <v>12</v>
      </c>
      <c r="C6" t="s">
        <v>18</v>
      </c>
      <c r="D6">
        <v>3.75</v>
      </c>
      <c r="E6">
        <v>5.63</v>
      </c>
      <c r="F6">
        <v>3750</v>
      </c>
      <c r="G6">
        <v>5630</v>
      </c>
      <c r="H6" t="s">
        <v>31</v>
      </c>
      <c r="I6" t="s">
        <v>32</v>
      </c>
      <c r="J6" t="s">
        <v>33</v>
      </c>
      <c r="K6" s="1" t="s">
        <v>34</v>
      </c>
      <c r="L6" t="s">
        <v>35</v>
      </c>
    </row>
    <row r="7" spans="1:12" x14ac:dyDescent="0.25">
      <c r="A7">
        <v>2022</v>
      </c>
      <c r="B7" t="s">
        <v>12</v>
      </c>
      <c r="C7" t="s">
        <v>22</v>
      </c>
      <c r="D7">
        <v>4</v>
      </c>
      <c r="E7">
        <v>6</v>
      </c>
      <c r="F7">
        <v>4096</v>
      </c>
      <c r="G7">
        <v>6144</v>
      </c>
      <c r="H7" t="s">
        <v>19</v>
      </c>
      <c r="I7" t="s">
        <v>36</v>
      </c>
      <c r="J7" t="s">
        <v>37</v>
      </c>
      <c r="K7">
        <v>5</v>
      </c>
      <c r="L7" t="s">
        <v>35</v>
      </c>
    </row>
    <row r="8" spans="1:12" x14ac:dyDescent="0.25">
      <c r="A8">
        <v>2022</v>
      </c>
      <c r="B8" t="s">
        <v>12</v>
      </c>
      <c r="C8" t="s">
        <v>13</v>
      </c>
      <c r="D8">
        <v>4</v>
      </c>
      <c r="E8">
        <v>6</v>
      </c>
      <c r="F8">
        <v>4000</v>
      </c>
      <c r="G8">
        <v>6000</v>
      </c>
      <c r="H8" t="s">
        <v>14</v>
      </c>
      <c r="I8" t="s">
        <v>38</v>
      </c>
      <c r="J8" t="s">
        <v>39</v>
      </c>
      <c r="K8">
        <v>5</v>
      </c>
      <c r="L8" t="s">
        <v>35</v>
      </c>
    </row>
    <row r="9" spans="1:12" x14ac:dyDescent="0.25">
      <c r="A9">
        <v>2023</v>
      </c>
      <c r="B9" t="s">
        <v>26</v>
      </c>
      <c r="C9" t="s">
        <v>13</v>
      </c>
      <c r="D9">
        <v>1.95</v>
      </c>
      <c r="E9">
        <v>1.95</v>
      </c>
      <c r="F9">
        <v>1950</v>
      </c>
      <c r="G9">
        <v>1950</v>
      </c>
      <c r="H9" t="s">
        <v>40</v>
      </c>
      <c r="I9" t="s">
        <v>41</v>
      </c>
      <c r="J9" t="s">
        <v>42</v>
      </c>
      <c r="K9">
        <v>1.95</v>
      </c>
      <c r="L9" t="s">
        <v>43</v>
      </c>
    </row>
    <row r="10" spans="1:12" x14ac:dyDescent="0.25">
      <c r="A10">
        <v>2023</v>
      </c>
      <c r="B10" t="s">
        <v>26</v>
      </c>
      <c r="C10" t="s">
        <v>18</v>
      </c>
      <c r="D10">
        <v>1.88</v>
      </c>
      <c r="E10">
        <v>2.81</v>
      </c>
      <c r="F10">
        <v>1880</v>
      </c>
      <c r="G10">
        <v>2810</v>
      </c>
      <c r="H10" t="s">
        <v>44</v>
      </c>
      <c r="I10" t="s">
        <v>45</v>
      </c>
      <c r="J10" t="s">
        <v>46</v>
      </c>
      <c r="K10" s="1" t="s">
        <v>47</v>
      </c>
      <c r="L10" t="s">
        <v>43</v>
      </c>
    </row>
    <row r="11" spans="1:12" x14ac:dyDescent="0.25">
      <c r="A11">
        <v>2023</v>
      </c>
      <c r="B11" t="s">
        <v>26</v>
      </c>
      <c r="C11" t="s">
        <v>22</v>
      </c>
      <c r="D11">
        <v>3.13</v>
      </c>
      <c r="E11">
        <v>4.38</v>
      </c>
      <c r="F11">
        <v>3130</v>
      </c>
      <c r="G11">
        <v>4380</v>
      </c>
      <c r="H11" t="s">
        <v>19</v>
      </c>
      <c r="I11" t="s">
        <v>48</v>
      </c>
      <c r="J11" t="s">
        <v>49</v>
      </c>
      <c r="K11">
        <v>3.7549999999999999</v>
      </c>
      <c r="L11" t="s">
        <v>43</v>
      </c>
    </row>
    <row r="12" spans="1:12" x14ac:dyDescent="0.25">
      <c r="A12">
        <v>2024</v>
      </c>
      <c r="B12" t="s">
        <v>50</v>
      </c>
      <c r="C12" t="s">
        <v>18</v>
      </c>
      <c r="D12">
        <v>1.88</v>
      </c>
      <c r="E12">
        <v>2.81</v>
      </c>
      <c r="F12">
        <v>1880</v>
      </c>
      <c r="G12">
        <v>2810</v>
      </c>
      <c r="H12" t="s">
        <v>51</v>
      </c>
      <c r="I12" t="s">
        <v>52</v>
      </c>
      <c r="J12" t="s">
        <v>53</v>
      </c>
      <c r="K12" s="1" t="s">
        <v>47</v>
      </c>
      <c r="L12" t="s">
        <v>54</v>
      </c>
    </row>
    <row r="13" spans="1:12" x14ac:dyDescent="0.25">
      <c r="A13">
        <v>2024</v>
      </c>
      <c r="B13" t="s">
        <v>50</v>
      </c>
      <c r="C13" t="s">
        <v>22</v>
      </c>
      <c r="D13">
        <v>2.5</v>
      </c>
      <c r="E13">
        <v>3.13</v>
      </c>
      <c r="F13">
        <v>2500</v>
      </c>
      <c r="G13">
        <v>3130</v>
      </c>
      <c r="H13" t="s">
        <v>51</v>
      </c>
      <c r="I13" t="s">
        <v>52</v>
      </c>
      <c r="J13" t="s">
        <v>55</v>
      </c>
      <c r="K13">
        <v>2.8149999999999999</v>
      </c>
      <c r="L13" t="s">
        <v>54</v>
      </c>
    </row>
    <row r="14" spans="1:12" x14ac:dyDescent="0.25">
      <c r="A14">
        <v>2024</v>
      </c>
      <c r="B14" t="s">
        <v>56</v>
      </c>
      <c r="C14" t="s">
        <v>18</v>
      </c>
      <c r="D14">
        <v>1.88</v>
      </c>
      <c r="E14">
        <v>2.81</v>
      </c>
      <c r="F14">
        <v>1880</v>
      </c>
      <c r="G14">
        <v>2810</v>
      </c>
      <c r="H14" t="s">
        <v>57</v>
      </c>
      <c r="I14" t="s">
        <v>58</v>
      </c>
      <c r="J14" t="s">
        <v>59</v>
      </c>
      <c r="K14" s="1" t="s">
        <v>47</v>
      </c>
      <c r="L14" t="s">
        <v>60</v>
      </c>
    </row>
    <row r="15" spans="1:12" x14ac:dyDescent="0.25">
      <c r="A15">
        <v>2024</v>
      </c>
      <c r="B15" t="s">
        <v>56</v>
      </c>
      <c r="C15" t="s">
        <v>22</v>
      </c>
      <c r="D15">
        <v>2.5</v>
      </c>
      <c r="E15">
        <v>3.13</v>
      </c>
      <c r="F15">
        <v>2500</v>
      </c>
      <c r="G15">
        <v>3130</v>
      </c>
      <c r="H15" t="s">
        <v>61</v>
      </c>
      <c r="I15" t="s">
        <v>62</v>
      </c>
      <c r="J15" t="s">
        <v>63</v>
      </c>
      <c r="K15">
        <v>2.8149999999999999</v>
      </c>
      <c r="L15" t="s">
        <v>60</v>
      </c>
    </row>
    <row r="16" spans="1:12" x14ac:dyDescent="0.25">
      <c r="A16">
        <v>2024</v>
      </c>
      <c r="B16" t="s">
        <v>12</v>
      </c>
      <c r="C16" t="s">
        <v>18</v>
      </c>
      <c r="D16">
        <v>1.88</v>
      </c>
      <c r="E16">
        <v>2.81</v>
      </c>
      <c r="F16">
        <v>1880</v>
      </c>
      <c r="G16">
        <v>2810</v>
      </c>
      <c r="H16" t="s">
        <v>19</v>
      </c>
      <c r="I16" t="s">
        <v>58</v>
      </c>
      <c r="J16" t="s">
        <v>64</v>
      </c>
      <c r="K16" s="1" t="s">
        <v>47</v>
      </c>
      <c r="L16" t="s">
        <v>65</v>
      </c>
    </row>
    <row r="17" spans="1:12" x14ac:dyDescent="0.25">
      <c r="A17">
        <v>2024</v>
      </c>
      <c r="B17" t="s">
        <v>12</v>
      </c>
      <c r="C17" t="s">
        <v>22</v>
      </c>
      <c r="D17">
        <v>2.5</v>
      </c>
      <c r="E17">
        <v>3.13</v>
      </c>
      <c r="F17">
        <v>2500</v>
      </c>
      <c r="G17">
        <v>3130</v>
      </c>
      <c r="H17" t="s">
        <v>19</v>
      </c>
      <c r="I17" t="s">
        <v>66</v>
      </c>
      <c r="J17" t="s">
        <v>67</v>
      </c>
      <c r="K17">
        <v>2.8149999999999999</v>
      </c>
      <c r="L17" t="s">
        <v>65</v>
      </c>
    </row>
    <row r="18" spans="1:12" x14ac:dyDescent="0.25">
      <c r="A18">
        <v>2025</v>
      </c>
      <c r="B18" t="s">
        <v>50</v>
      </c>
      <c r="C18" t="s">
        <v>18</v>
      </c>
      <c r="D18">
        <v>1.88</v>
      </c>
      <c r="E18">
        <v>5</v>
      </c>
      <c r="F18">
        <v>1880</v>
      </c>
      <c r="G18">
        <v>5000</v>
      </c>
      <c r="H18" t="s">
        <v>68</v>
      </c>
      <c r="I18" t="s">
        <v>69</v>
      </c>
      <c r="J18" t="s">
        <v>70</v>
      </c>
      <c r="K18">
        <v>3.44</v>
      </c>
      <c r="L18" t="s">
        <v>71</v>
      </c>
    </row>
    <row r="19" spans="1:12" x14ac:dyDescent="0.25">
      <c r="A19">
        <v>2025</v>
      </c>
      <c r="B19" t="s">
        <v>50</v>
      </c>
      <c r="C19" t="s">
        <v>22</v>
      </c>
      <c r="D19">
        <v>2.5</v>
      </c>
      <c r="E19">
        <v>3.13</v>
      </c>
      <c r="F19">
        <v>2500</v>
      </c>
      <c r="G19">
        <v>3130</v>
      </c>
      <c r="H19" t="s">
        <v>19</v>
      </c>
      <c r="I19" t="s">
        <v>24</v>
      </c>
      <c r="J19" t="s">
        <v>72</v>
      </c>
      <c r="K19">
        <v>2.8149999999999999</v>
      </c>
      <c r="L19" t="s">
        <v>71</v>
      </c>
    </row>
    <row r="20" spans="1:12" x14ac:dyDescent="0.25">
      <c r="A20">
        <v>2025</v>
      </c>
      <c r="B20" t="s">
        <v>26</v>
      </c>
      <c r="C20" t="s">
        <v>18</v>
      </c>
      <c r="D20">
        <v>4</v>
      </c>
      <c r="E20">
        <v>7</v>
      </c>
      <c r="F20">
        <v>4000</v>
      </c>
      <c r="G20">
        <v>7000</v>
      </c>
      <c r="H20" t="s">
        <v>73</v>
      </c>
      <c r="I20" t="s">
        <v>74</v>
      </c>
      <c r="J20" t="s">
        <v>75</v>
      </c>
      <c r="K20">
        <v>5.5</v>
      </c>
      <c r="L20" t="s">
        <v>76</v>
      </c>
    </row>
    <row r="21" spans="1:12" x14ac:dyDescent="0.25">
      <c r="A21">
        <v>2025</v>
      </c>
      <c r="B21" t="s">
        <v>26</v>
      </c>
      <c r="C21" t="s">
        <v>22</v>
      </c>
      <c r="D21">
        <v>3.44</v>
      </c>
      <c r="E21">
        <v>4.38</v>
      </c>
      <c r="F21">
        <v>3440</v>
      </c>
      <c r="G21">
        <v>4380</v>
      </c>
      <c r="H21" t="s">
        <v>19</v>
      </c>
      <c r="I21" t="s">
        <v>66</v>
      </c>
      <c r="J21" t="s">
        <v>77</v>
      </c>
      <c r="K21">
        <v>3.91</v>
      </c>
      <c r="L21" t="s">
        <v>76</v>
      </c>
    </row>
    <row r="22" spans="1:12" x14ac:dyDescent="0.25">
      <c r="A22">
        <v>2025</v>
      </c>
      <c r="B22" t="s">
        <v>56</v>
      </c>
      <c r="C22" t="s">
        <v>18</v>
      </c>
      <c r="D22">
        <v>8</v>
      </c>
      <c r="E22">
        <v>12</v>
      </c>
      <c r="F22">
        <v>8000</v>
      </c>
      <c r="G22">
        <v>12000</v>
      </c>
      <c r="H22" t="s">
        <v>78</v>
      </c>
      <c r="I22" t="s">
        <v>52</v>
      </c>
      <c r="J22" t="s">
        <v>79</v>
      </c>
      <c r="K22">
        <v>10</v>
      </c>
      <c r="L22" t="s">
        <v>80</v>
      </c>
    </row>
    <row r="23" spans="1:12" x14ac:dyDescent="0.25">
      <c r="A23">
        <v>2025</v>
      </c>
      <c r="B23" t="s">
        <v>56</v>
      </c>
      <c r="C23" t="s">
        <v>22</v>
      </c>
      <c r="D23">
        <v>5</v>
      </c>
      <c r="E23">
        <v>8</v>
      </c>
      <c r="F23">
        <v>5000</v>
      </c>
      <c r="G23">
        <v>8000</v>
      </c>
      <c r="H23" t="s">
        <v>81</v>
      </c>
      <c r="I23" t="s">
        <v>52</v>
      </c>
      <c r="J23" t="s">
        <v>82</v>
      </c>
      <c r="K23">
        <v>6.5</v>
      </c>
      <c r="L23" t="s">
        <v>80</v>
      </c>
    </row>
    <row r="24" spans="1:12" x14ac:dyDescent="0.25">
      <c r="A24">
        <v>2025</v>
      </c>
      <c r="B24" t="s">
        <v>12</v>
      </c>
      <c r="C24" t="s">
        <v>13</v>
      </c>
      <c r="D24">
        <v>6</v>
      </c>
      <c r="E24">
        <v>10</v>
      </c>
      <c r="F24">
        <v>6000</v>
      </c>
      <c r="G24">
        <v>10000</v>
      </c>
      <c r="H24" t="s">
        <v>83</v>
      </c>
      <c r="I24" t="s">
        <v>84</v>
      </c>
      <c r="J24" t="s">
        <v>85</v>
      </c>
      <c r="K24">
        <v>8</v>
      </c>
      <c r="L24" t="s">
        <v>86</v>
      </c>
    </row>
    <row r="25" spans="1:12" x14ac:dyDescent="0.25">
      <c r="A25">
        <v>2025</v>
      </c>
      <c r="B25" t="s">
        <v>12</v>
      </c>
      <c r="C25" t="s">
        <v>18</v>
      </c>
      <c r="D25">
        <v>9.3800000000000008</v>
      </c>
      <c r="E25">
        <v>14.69</v>
      </c>
      <c r="F25">
        <v>9380</v>
      </c>
      <c r="G25">
        <v>14690</v>
      </c>
      <c r="H25" t="s">
        <v>19</v>
      </c>
      <c r="I25" t="s">
        <v>87</v>
      </c>
      <c r="J25" t="s">
        <v>88</v>
      </c>
      <c r="K25">
        <v>12.035</v>
      </c>
      <c r="L25" t="s">
        <v>86</v>
      </c>
    </row>
    <row r="26" spans="1:12" x14ac:dyDescent="0.25">
      <c r="A26">
        <v>2025</v>
      </c>
      <c r="B26" t="s">
        <v>12</v>
      </c>
      <c r="C26" t="s">
        <v>22</v>
      </c>
      <c r="D26">
        <v>10.94</v>
      </c>
      <c r="E26">
        <v>23.44</v>
      </c>
      <c r="F26">
        <v>10940</v>
      </c>
      <c r="G26">
        <v>23440</v>
      </c>
      <c r="H26" t="s">
        <v>19</v>
      </c>
      <c r="I26" t="s">
        <v>89</v>
      </c>
      <c r="J26" t="s">
        <v>90</v>
      </c>
      <c r="K26">
        <v>17.190000000000001</v>
      </c>
      <c r="L26" t="s">
        <v>86</v>
      </c>
    </row>
    <row r="27" spans="1:12" x14ac:dyDescent="0.25">
      <c r="A27">
        <v>2025</v>
      </c>
      <c r="B27" t="s">
        <v>12</v>
      </c>
      <c r="C27" t="s">
        <v>22</v>
      </c>
      <c r="D27">
        <v>9.75</v>
      </c>
      <c r="E27">
        <v>9.75</v>
      </c>
      <c r="F27">
        <v>9750</v>
      </c>
      <c r="G27">
        <v>9750</v>
      </c>
      <c r="H27" t="s">
        <v>51</v>
      </c>
      <c r="I27" t="s">
        <v>91</v>
      </c>
      <c r="J27" t="s">
        <v>92</v>
      </c>
      <c r="K27">
        <v>9.75</v>
      </c>
      <c r="L27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7E2E4-50B7-4D9D-809B-04BBE7843850}">
  <dimension ref="A1:O22"/>
  <sheetViews>
    <sheetView workbookViewId="0">
      <selection activeCell="G10" sqref="G10"/>
    </sheetView>
  </sheetViews>
  <sheetFormatPr defaultRowHeight="15" x14ac:dyDescent="0.25"/>
  <cols>
    <col min="1" max="1" width="5.140625" bestFit="1" customWidth="1"/>
    <col min="2" max="2" width="7.7109375" bestFit="1" customWidth="1"/>
    <col min="4" max="4" width="23.85546875" bestFit="1" customWidth="1"/>
    <col min="5" max="5" width="21.140625" bestFit="1" customWidth="1"/>
    <col min="6" max="6" width="21.85546875" bestFit="1" customWidth="1"/>
    <col min="7" max="7" width="20.85546875" bestFit="1" customWidth="1"/>
    <col min="8" max="8" width="21.5703125" bestFit="1" customWidth="1"/>
    <col min="9" max="9" width="11.42578125" bestFit="1" customWidth="1"/>
    <col min="10" max="10" width="27.7109375" bestFit="1" customWidth="1"/>
    <col min="11" max="11" width="8.7109375" bestFit="1" customWidth="1"/>
    <col min="12" max="12" width="11.85546875" bestFit="1" customWidth="1"/>
    <col min="13" max="13" width="79.140625" bestFit="1" customWidth="1"/>
    <col min="14" max="14" width="16.7109375" bestFit="1" customWidth="1"/>
  </cols>
  <sheetData>
    <row r="1" spans="1:15" s="13" customFormat="1" x14ac:dyDescent="0.25">
      <c r="A1" s="13" t="s">
        <v>0</v>
      </c>
      <c r="B1" s="13" t="s">
        <v>1</v>
      </c>
      <c r="C1" s="13" t="s">
        <v>2</v>
      </c>
      <c r="D1" s="13" t="s">
        <v>144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143</v>
      </c>
      <c r="K1" s="13" t="s">
        <v>142</v>
      </c>
      <c r="L1" s="13" t="s">
        <v>141</v>
      </c>
      <c r="M1" s="13" t="s">
        <v>9</v>
      </c>
      <c r="N1" s="13" t="s">
        <v>10</v>
      </c>
      <c r="O1" s="13" t="s">
        <v>11</v>
      </c>
    </row>
    <row r="2" spans="1:15" x14ac:dyDescent="0.25">
      <c r="A2">
        <v>2021</v>
      </c>
      <c r="B2" t="s">
        <v>12</v>
      </c>
      <c r="C2" t="s">
        <v>18</v>
      </c>
      <c r="D2" t="s">
        <v>140</v>
      </c>
      <c r="E2">
        <v>6.25</v>
      </c>
      <c r="F2">
        <v>9.3800000000000008</v>
      </c>
      <c r="G2">
        <v>6250</v>
      </c>
      <c r="H2">
        <v>9380</v>
      </c>
      <c r="I2" t="s">
        <v>19</v>
      </c>
      <c r="J2" t="s">
        <v>20</v>
      </c>
      <c r="K2" t="s">
        <v>95</v>
      </c>
      <c r="L2" t="s">
        <v>94</v>
      </c>
      <c r="M2" t="s">
        <v>139</v>
      </c>
      <c r="N2">
        <v>7.8150000000000004</v>
      </c>
      <c r="O2" t="s">
        <v>17</v>
      </c>
    </row>
    <row r="3" spans="1:15" x14ac:dyDescent="0.25">
      <c r="A3">
        <v>2022</v>
      </c>
      <c r="B3" t="s">
        <v>26</v>
      </c>
      <c r="C3" t="s">
        <v>18</v>
      </c>
      <c r="D3" t="s">
        <v>138</v>
      </c>
      <c r="E3">
        <v>3.75</v>
      </c>
      <c r="F3">
        <v>7.5</v>
      </c>
      <c r="G3">
        <v>3750</v>
      </c>
      <c r="H3">
        <v>7500</v>
      </c>
      <c r="I3" t="s">
        <v>19</v>
      </c>
      <c r="J3" t="s">
        <v>28</v>
      </c>
      <c r="K3" t="s">
        <v>95</v>
      </c>
      <c r="L3" t="s">
        <v>94</v>
      </c>
      <c r="M3" t="s">
        <v>137</v>
      </c>
      <c r="N3">
        <v>5.625</v>
      </c>
      <c r="O3" t="s">
        <v>30</v>
      </c>
    </row>
    <row r="4" spans="1:15" x14ac:dyDescent="0.25">
      <c r="A4">
        <v>2022</v>
      </c>
      <c r="B4" t="s">
        <v>12</v>
      </c>
      <c r="C4" t="s">
        <v>22</v>
      </c>
      <c r="D4" t="s">
        <v>136</v>
      </c>
      <c r="E4">
        <v>4</v>
      </c>
      <c r="F4">
        <v>6</v>
      </c>
      <c r="G4">
        <v>4000</v>
      </c>
      <c r="H4">
        <v>6000</v>
      </c>
      <c r="I4" t="s">
        <v>19</v>
      </c>
      <c r="J4" t="s">
        <v>36</v>
      </c>
      <c r="K4" t="s">
        <v>95</v>
      </c>
      <c r="L4" t="s">
        <v>94</v>
      </c>
      <c r="M4" t="s">
        <v>37</v>
      </c>
      <c r="N4">
        <v>5</v>
      </c>
      <c r="O4" t="s">
        <v>35</v>
      </c>
    </row>
    <row r="5" spans="1:15" x14ac:dyDescent="0.25">
      <c r="A5">
        <v>2023</v>
      </c>
      <c r="B5" t="s">
        <v>50</v>
      </c>
      <c r="C5" t="s">
        <v>18</v>
      </c>
      <c r="D5" t="s">
        <v>135</v>
      </c>
      <c r="E5">
        <v>1</v>
      </c>
      <c r="F5">
        <v>2</v>
      </c>
      <c r="G5">
        <v>1000</v>
      </c>
      <c r="H5">
        <v>2000</v>
      </c>
      <c r="I5" t="s">
        <v>19</v>
      </c>
      <c r="J5" t="s">
        <v>134</v>
      </c>
      <c r="K5" t="s">
        <v>95</v>
      </c>
      <c r="L5" t="s">
        <v>94</v>
      </c>
      <c r="M5" t="s">
        <v>133</v>
      </c>
      <c r="N5">
        <v>1.5</v>
      </c>
      <c r="O5" t="s">
        <v>130</v>
      </c>
    </row>
    <row r="6" spans="1:15" x14ac:dyDescent="0.25">
      <c r="A6">
        <v>2023</v>
      </c>
      <c r="B6" t="s">
        <v>50</v>
      </c>
      <c r="C6" t="s">
        <v>22</v>
      </c>
      <c r="D6" t="s">
        <v>132</v>
      </c>
      <c r="E6">
        <v>3.13</v>
      </c>
      <c r="F6">
        <v>4.38</v>
      </c>
      <c r="G6">
        <v>3130</v>
      </c>
      <c r="H6">
        <v>4380</v>
      </c>
      <c r="I6" t="s">
        <v>19</v>
      </c>
      <c r="J6" t="s">
        <v>48</v>
      </c>
      <c r="K6" t="s">
        <v>95</v>
      </c>
      <c r="L6" t="s">
        <v>94</v>
      </c>
      <c r="M6" t="s">
        <v>131</v>
      </c>
      <c r="N6">
        <v>3.7549999999999999</v>
      </c>
      <c r="O6" t="s">
        <v>130</v>
      </c>
    </row>
    <row r="7" spans="1:15" x14ac:dyDescent="0.25">
      <c r="A7">
        <v>2024</v>
      </c>
      <c r="B7" t="s">
        <v>50</v>
      </c>
      <c r="C7" t="s">
        <v>18</v>
      </c>
      <c r="D7" t="s">
        <v>129</v>
      </c>
      <c r="E7">
        <v>1.88</v>
      </c>
      <c r="F7">
        <v>2.81</v>
      </c>
      <c r="G7">
        <v>1880</v>
      </c>
      <c r="H7">
        <v>2810</v>
      </c>
      <c r="I7" t="s">
        <v>51</v>
      </c>
      <c r="J7" t="s">
        <v>52</v>
      </c>
      <c r="K7" t="s">
        <v>95</v>
      </c>
      <c r="L7" t="s">
        <v>94</v>
      </c>
      <c r="M7" t="s">
        <v>128</v>
      </c>
      <c r="N7">
        <v>2.34499999999999</v>
      </c>
      <c r="O7" t="s">
        <v>54</v>
      </c>
    </row>
    <row r="8" spans="1:15" x14ac:dyDescent="0.25">
      <c r="A8">
        <v>2024</v>
      </c>
      <c r="B8" t="s">
        <v>56</v>
      </c>
      <c r="C8" t="s">
        <v>18</v>
      </c>
      <c r="D8" t="s">
        <v>127</v>
      </c>
      <c r="E8">
        <v>1.88</v>
      </c>
      <c r="F8">
        <v>2.81</v>
      </c>
      <c r="G8">
        <v>1880</v>
      </c>
      <c r="H8">
        <v>2810</v>
      </c>
      <c r="I8" t="s">
        <v>19</v>
      </c>
      <c r="J8" t="s">
        <v>58</v>
      </c>
      <c r="K8" t="s">
        <v>95</v>
      </c>
      <c r="L8" t="s">
        <v>94</v>
      </c>
      <c r="M8" t="s">
        <v>126</v>
      </c>
      <c r="N8">
        <v>2.34499999999999</v>
      </c>
      <c r="O8" t="s">
        <v>60</v>
      </c>
    </row>
    <row r="9" spans="1:15" x14ac:dyDescent="0.25">
      <c r="A9">
        <v>2024</v>
      </c>
      <c r="B9" t="s">
        <v>56</v>
      </c>
      <c r="C9" t="s">
        <v>22</v>
      </c>
      <c r="D9" t="s">
        <v>125</v>
      </c>
      <c r="E9">
        <v>2.5</v>
      </c>
      <c r="F9">
        <v>3.13</v>
      </c>
      <c r="G9">
        <v>2500</v>
      </c>
      <c r="H9">
        <v>3130</v>
      </c>
      <c r="I9" t="s">
        <v>19</v>
      </c>
      <c r="J9" t="s">
        <v>62</v>
      </c>
      <c r="K9" t="s">
        <v>95</v>
      </c>
      <c r="L9" t="s">
        <v>94</v>
      </c>
      <c r="M9" t="s">
        <v>124</v>
      </c>
      <c r="N9">
        <v>2.8149999999999999</v>
      </c>
      <c r="O9" t="s">
        <v>60</v>
      </c>
    </row>
    <row r="10" spans="1:15" x14ac:dyDescent="0.25">
      <c r="A10">
        <v>2025</v>
      </c>
      <c r="B10" t="s">
        <v>50</v>
      </c>
      <c r="C10" t="s">
        <v>18</v>
      </c>
      <c r="D10" t="s">
        <v>123</v>
      </c>
      <c r="E10">
        <v>0.22</v>
      </c>
      <c r="F10">
        <v>0.22</v>
      </c>
      <c r="I10" t="s">
        <v>19</v>
      </c>
      <c r="J10" t="s">
        <v>122</v>
      </c>
      <c r="K10" t="s">
        <v>95</v>
      </c>
      <c r="L10" t="s">
        <v>94</v>
      </c>
      <c r="M10" t="s">
        <v>121</v>
      </c>
      <c r="N10">
        <v>0.22</v>
      </c>
      <c r="O10" t="s">
        <v>71</v>
      </c>
    </row>
    <row r="11" spans="1:15" x14ac:dyDescent="0.25">
      <c r="A11">
        <v>2025</v>
      </c>
      <c r="B11" t="s">
        <v>50</v>
      </c>
      <c r="C11" t="s">
        <v>18</v>
      </c>
      <c r="D11" t="s">
        <v>120</v>
      </c>
      <c r="E11">
        <v>1.88</v>
      </c>
      <c r="F11">
        <v>5</v>
      </c>
      <c r="G11">
        <v>1880</v>
      </c>
      <c r="H11">
        <v>5000</v>
      </c>
      <c r="I11" t="s">
        <v>19</v>
      </c>
      <c r="J11" t="s">
        <v>69</v>
      </c>
      <c r="K11" t="s">
        <v>95</v>
      </c>
      <c r="L11" t="s">
        <v>94</v>
      </c>
      <c r="M11" t="s">
        <v>119</v>
      </c>
      <c r="N11">
        <v>3.44</v>
      </c>
      <c r="O11" t="s">
        <v>71</v>
      </c>
    </row>
    <row r="12" spans="1:15" x14ac:dyDescent="0.25">
      <c r="A12">
        <v>2025</v>
      </c>
      <c r="B12" t="s">
        <v>50</v>
      </c>
      <c r="C12" t="s">
        <v>22</v>
      </c>
      <c r="D12" t="s">
        <v>118</v>
      </c>
      <c r="E12">
        <v>2.5</v>
      </c>
      <c r="F12">
        <v>3.13</v>
      </c>
      <c r="G12">
        <v>2500</v>
      </c>
      <c r="H12">
        <v>3130</v>
      </c>
      <c r="I12" t="s">
        <v>19</v>
      </c>
      <c r="J12" t="s">
        <v>24</v>
      </c>
      <c r="K12" t="s">
        <v>95</v>
      </c>
      <c r="L12" t="s">
        <v>94</v>
      </c>
      <c r="M12" t="s">
        <v>117</v>
      </c>
      <c r="N12">
        <v>2.8149999999999999</v>
      </c>
      <c r="O12" t="s">
        <v>71</v>
      </c>
    </row>
    <row r="13" spans="1:15" x14ac:dyDescent="0.25">
      <c r="A13">
        <v>2025</v>
      </c>
      <c r="B13" t="s">
        <v>26</v>
      </c>
      <c r="C13" t="s">
        <v>18</v>
      </c>
      <c r="D13" t="s">
        <v>116</v>
      </c>
      <c r="E13">
        <v>4</v>
      </c>
      <c r="F13">
        <v>7</v>
      </c>
      <c r="G13">
        <v>4000</v>
      </c>
      <c r="H13">
        <v>7000</v>
      </c>
      <c r="I13" t="s">
        <v>109</v>
      </c>
      <c r="J13" t="s">
        <v>74</v>
      </c>
      <c r="K13" t="s">
        <v>95</v>
      </c>
      <c r="L13" t="s">
        <v>94</v>
      </c>
      <c r="M13" t="s">
        <v>115</v>
      </c>
      <c r="N13">
        <v>5.5</v>
      </c>
      <c r="O13" t="s">
        <v>76</v>
      </c>
    </row>
    <row r="14" spans="1:15" x14ac:dyDescent="0.25">
      <c r="A14">
        <v>2025</v>
      </c>
      <c r="B14" t="s">
        <v>26</v>
      </c>
      <c r="C14" t="s">
        <v>22</v>
      </c>
      <c r="D14" t="s">
        <v>114</v>
      </c>
      <c r="E14">
        <v>3.44</v>
      </c>
      <c r="F14">
        <v>4.38</v>
      </c>
      <c r="G14">
        <v>3440</v>
      </c>
      <c r="H14">
        <v>4380</v>
      </c>
      <c r="I14" t="s">
        <v>19</v>
      </c>
      <c r="J14" t="s">
        <v>66</v>
      </c>
      <c r="K14" t="s">
        <v>95</v>
      </c>
      <c r="L14" t="s">
        <v>94</v>
      </c>
      <c r="M14" t="s">
        <v>113</v>
      </c>
      <c r="N14">
        <v>3.91</v>
      </c>
      <c r="O14" t="s">
        <v>76</v>
      </c>
    </row>
    <row r="15" spans="1:15" x14ac:dyDescent="0.25">
      <c r="A15">
        <v>2025</v>
      </c>
      <c r="B15" t="s">
        <v>56</v>
      </c>
      <c r="C15" t="s">
        <v>18</v>
      </c>
      <c r="D15" t="s">
        <v>112</v>
      </c>
      <c r="E15">
        <v>8</v>
      </c>
      <c r="F15">
        <v>12</v>
      </c>
      <c r="G15">
        <v>8000</v>
      </c>
      <c r="H15">
        <v>12000</v>
      </c>
      <c r="I15" t="s">
        <v>109</v>
      </c>
      <c r="J15" t="s">
        <v>52</v>
      </c>
      <c r="K15" t="s">
        <v>95</v>
      </c>
      <c r="L15" t="s">
        <v>94</v>
      </c>
      <c r="M15" t="s">
        <v>111</v>
      </c>
      <c r="N15">
        <v>10</v>
      </c>
      <c r="O15" t="s">
        <v>80</v>
      </c>
    </row>
    <row r="16" spans="1:15" x14ac:dyDescent="0.25">
      <c r="A16">
        <v>2025</v>
      </c>
      <c r="B16" t="s">
        <v>56</v>
      </c>
      <c r="C16" t="s">
        <v>22</v>
      </c>
      <c r="D16" t="s">
        <v>110</v>
      </c>
      <c r="E16">
        <v>3.1</v>
      </c>
      <c r="F16">
        <v>3.1</v>
      </c>
      <c r="I16" t="s">
        <v>109</v>
      </c>
      <c r="J16" t="s">
        <v>52</v>
      </c>
      <c r="K16" t="s">
        <v>95</v>
      </c>
      <c r="L16" t="s">
        <v>94</v>
      </c>
      <c r="M16" t="s">
        <v>108</v>
      </c>
      <c r="N16">
        <v>3.1</v>
      </c>
      <c r="O16" t="s">
        <v>80</v>
      </c>
    </row>
    <row r="17" spans="1:15" x14ac:dyDescent="0.25">
      <c r="A17">
        <v>2025</v>
      </c>
      <c r="B17" t="s">
        <v>12</v>
      </c>
      <c r="C17" t="s">
        <v>18</v>
      </c>
      <c r="D17" t="s">
        <v>106</v>
      </c>
      <c r="E17">
        <v>8.09</v>
      </c>
      <c r="F17">
        <v>8.09</v>
      </c>
      <c r="G17">
        <v>8090</v>
      </c>
      <c r="H17">
        <v>8090</v>
      </c>
      <c r="I17" t="s">
        <v>19</v>
      </c>
      <c r="J17" t="s">
        <v>105</v>
      </c>
      <c r="K17" t="s">
        <v>104</v>
      </c>
      <c r="L17" t="s">
        <v>94</v>
      </c>
      <c r="M17" t="s">
        <v>107</v>
      </c>
      <c r="N17">
        <v>8.09</v>
      </c>
      <c r="O17" t="s">
        <v>86</v>
      </c>
    </row>
    <row r="18" spans="1:15" x14ac:dyDescent="0.25">
      <c r="A18">
        <v>2025</v>
      </c>
      <c r="B18" t="s">
        <v>12</v>
      </c>
      <c r="C18" t="s">
        <v>22</v>
      </c>
      <c r="D18" t="s">
        <v>106</v>
      </c>
      <c r="E18">
        <v>7.89</v>
      </c>
      <c r="F18">
        <v>7.89</v>
      </c>
      <c r="G18">
        <v>7890</v>
      </c>
      <c r="H18">
        <v>7890</v>
      </c>
      <c r="I18" t="s">
        <v>19</v>
      </c>
      <c r="J18" t="s">
        <v>105</v>
      </c>
      <c r="K18" t="s">
        <v>104</v>
      </c>
      <c r="L18" t="s">
        <v>94</v>
      </c>
      <c r="M18" t="s">
        <v>103</v>
      </c>
      <c r="N18">
        <v>7.89</v>
      </c>
      <c r="O18" t="s">
        <v>86</v>
      </c>
    </row>
    <row r="19" spans="1:15" x14ac:dyDescent="0.25">
      <c r="A19">
        <v>2025</v>
      </c>
      <c r="B19" t="s">
        <v>12</v>
      </c>
      <c r="C19" t="s">
        <v>22</v>
      </c>
      <c r="D19" t="s">
        <v>102</v>
      </c>
      <c r="E19">
        <v>8.44</v>
      </c>
      <c r="F19">
        <v>8.44</v>
      </c>
      <c r="G19">
        <v>8440</v>
      </c>
      <c r="H19">
        <v>8440</v>
      </c>
      <c r="I19" t="s">
        <v>51</v>
      </c>
      <c r="J19" t="s">
        <v>91</v>
      </c>
      <c r="K19" t="s">
        <v>95</v>
      </c>
      <c r="L19" t="s">
        <v>94</v>
      </c>
      <c r="M19" t="s">
        <v>101</v>
      </c>
      <c r="N19">
        <v>8.44</v>
      </c>
      <c r="O19" t="s">
        <v>86</v>
      </c>
    </row>
    <row r="20" spans="1:15" x14ac:dyDescent="0.25">
      <c r="A20">
        <v>2025</v>
      </c>
      <c r="B20" t="s">
        <v>12</v>
      </c>
      <c r="C20" t="s">
        <v>22</v>
      </c>
      <c r="D20" t="s">
        <v>100</v>
      </c>
      <c r="E20">
        <v>9.33</v>
      </c>
      <c r="F20">
        <v>9.33</v>
      </c>
      <c r="G20">
        <v>9330</v>
      </c>
      <c r="H20">
        <v>9330</v>
      </c>
      <c r="I20" t="s">
        <v>51</v>
      </c>
      <c r="J20" t="s">
        <v>91</v>
      </c>
      <c r="K20" t="s">
        <v>95</v>
      </c>
      <c r="L20" t="s">
        <v>94</v>
      </c>
      <c r="M20" t="s">
        <v>99</v>
      </c>
      <c r="N20">
        <v>9.33</v>
      </c>
      <c r="O20" t="s">
        <v>86</v>
      </c>
    </row>
    <row r="21" spans="1:15" x14ac:dyDescent="0.25">
      <c r="A21">
        <v>2025</v>
      </c>
      <c r="B21" t="s">
        <v>12</v>
      </c>
      <c r="C21" t="s">
        <v>18</v>
      </c>
      <c r="D21" t="s">
        <v>97</v>
      </c>
      <c r="E21">
        <v>5.03</v>
      </c>
      <c r="F21">
        <v>5.03</v>
      </c>
      <c r="G21">
        <v>5030</v>
      </c>
      <c r="H21">
        <v>5030</v>
      </c>
      <c r="I21" t="s">
        <v>19</v>
      </c>
      <c r="J21" t="s">
        <v>96</v>
      </c>
      <c r="K21" t="s">
        <v>95</v>
      </c>
      <c r="L21" t="s">
        <v>94</v>
      </c>
      <c r="M21" t="s">
        <v>98</v>
      </c>
      <c r="N21">
        <v>5.03</v>
      </c>
      <c r="O21" t="s">
        <v>86</v>
      </c>
    </row>
    <row r="22" spans="1:15" x14ac:dyDescent="0.25">
      <c r="A22">
        <v>2025</v>
      </c>
      <c r="B22" t="s">
        <v>12</v>
      </c>
      <c r="C22" t="s">
        <v>22</v>
      </c>
      <c r="D22" t="s">
        <v>97</v>
      </c>
      <c r="E22">
        <v>5.75</v>
      </c>
      <c r="F22">
        <v>5.75</v>
      </c>
      <c r="G22">
        <v>5750</v>
      </c>
      <c r="H22">
        <v>5750</v>
      </c>
      <c r="I22" t="s">
        <v>19</v>
      </c>
      <c r="J22" t="s">
        <v>96</v>
      </c>
      <c r="K22" t="s">
        <v>95</v>
      </c>
      <c r="L22" t="s">
        <v>94</v>
      </c>
      <c r="M22" t="s">
        <v>93</v>
      </c>
      <c r="N22">
        <v>5.75</v>
      </c>
      <c r="O22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9B8BD-86AA-419C-BFDB-A3B1E4650262}">
  <dimension ref="A1:L7"/>
  <sheetViews>
    <sheetView showGridLines="0" zoomScaleNormal="100" workbookViewId="0">
      <pane ySplit="1" topLeftCell="A2" activePane="bottomLeft" state="frozen"/>
      <selection pane="bottomLeft" activeCell="C13" sqref="C13"/>
    </sheetView>
  </sheetViews>
  <sheetFormatPr defaultColWidth="8.7109375" defaultRowHeight="15" x14ac:dyDescent="0.25"/>
  <cols>
    <col min="1" max="1" width="7" style="9" customWidth="1"/>
    <col min="2" max="2" width="32.140625" style="9" customWidth="1"/>
    <col min="3" max="3" width="40.85546875" style="9" customWidth="1"/>
    <col min="4" max="4" width="28.85546875" style="9" customWidth="1"/>
    <col min="5" max="5" width="24.5703125" style="9" customWidth="1"/>
    <col min="6" max="6" width="34.5703125" style="9" customWidth="1"/>
    <col min="7" max="7" width="27.85546875" style="9" customWidth="1"/>
    <col min="8" max="8" width="38" style="9" customWidth="1"/>
    <col min="9" max="9" width="26.28515625" style="9" customWidth="1"/>
    <col min="10" max="12" width="8.7109375" style="4"/>
    <col min="13" max="16384" width="8.7109375" style="2"/>
  </cols>
  <sheetData>
    <row r="1" spans="1:9" s="3" customFormat="1" ht="21.75" customHeight="1" x14ac:dyDescent="0.25">
      <c r="A1" s="5" t="s">
        <v>0</v>
      </c>
      <c r="B1" s="5" t="s">
        <v>152</v>
      </c>
      <c r="C1" s="5" t="s">
        <v>151</v>
      </c>
      <c r="D1" s="5" t="s">
        <v>150</v>
      </c>
      <c r="E1" s="5" t="s">
        <v>149</v>
      </c>
      <c r="F1" s="5" t="s">
        <v>148</v>
      </c>
      <c r="G1" s="5" t="s">
        <v>147</v>
      </c>
      <c r="H1" s="5" t="s">
        <v>146</v>
      </c>
      <c r="I1" s="5" t="s">
        <v>8</v>
      </c>
    </row>
    <row r="2" spans="1:9" ht="21.75" customHeight="1" x14ac:dyDescent="0.25">
      <c r="A2" s="6">
        <v>2020</v>
      </c>
      <c r="B2" s="7">
        <f>35044/1000</f>
        <v>35.043999999999997</v>
      </c>
      <c r="C2" s="7">
        <f>15441/1000</f>
        <v>15.441000000000001</v>
      </c>
      <c r="D2" s="7">
        <f>22281/1000</f>
        <v>22.280999999999999</v>
      </c>
      <c r="E2" s="7">
        <v>15.115</v>
      </c>
      <c r="F2" s="7">
        <f>SUM(B2:E2)</f>
        <v>87.880999999999986</v>
      </c>
      <c r="G2" s="6">
        <v>0</v>
      </c>
      <c r="H2" s="8" t="s">
        <v>153</v>
      </c>
      <c r="I2" s="9" t="s">
        <v>145</v>
      </c>
    </row>
    <row r="3" spans="1:9" ht="21.75" customHeight="1" x14ac:dyDescent="0.25">
      <c r="A3" s="6">
        <v>2021</v>
      </c>
      <c r="B3" s="7">
        <f>55396/1000</f>
        <v>55.396000000000001</v>
      </c>
      <c r="C3" s="7">
        <v>20.622</v>
      </c>
      <c r="D3" s="7">
        <f>24640/1000</f>
        <v>24.64</v>
      </c>
      <c r="E3" s="7">
        <f>18567/1000</f>
        <v>18.567</v>
      </c>
      <c r="F3" s="7">
        <f>SUM(B3:E3)</f>
        <v>119.22499999999999</v>
      </c>
      <c r="G3" s="10">
        <f>(F3-F2)/F2</f>
        <v>0.35666412535132752</v>
      </c>
      <c r="H3" s="8" t="s">
        <v>154</v>
      </c>
      <c r="I3" s="11" t="s">
        <v>145</v>
      </c>
    </row>
    <row r="4" spans="1:9" ht="21.75" customHeight="1" x14ac:dyDescent="0.25">
      <c r="A4" s="6">
        <v>2022</v>
      </c>
      <c r="B4" s="7">
        <f>58321/1000</f>
        <v>58.320999999999998</v>
      </c>
      <c r="C4" s="7">
        <v>23.885999999999999</v>
      </c>
      <c r="D4" s="7">
        <f>31485/1000</f>
        <v>31.484999999999999</v>
      </c>
      <c r="E4" s="7">
        <v>31.431000000000001</v>
      </c>
      <c r="F4" s="7">
        <f>SUM(B4:E4)</f>
        <v>145.12299999999999</v>
      </c>
      <c r="G4" s="10">
        <f>(F4-F3)/F3</f>
        <v>0.21721954288110712</v>
      </c>
      <c r="H4" s="8" t="s">
        <v>155</v>
      </c>
      <c r="I4" s="12" t="s">
        <v>145</v>
      </c>
    </row>
    <row r="5" spans="1:9" ht="21.75" customHeight="1" x14ac:dyDescent="0.25">
      <c r="A5" s="6">
        <v>2023</v>
      </c>
      <c r="B5" s="7">
        <f>48133/1000</f>
        <v>48.133000000000003</v>
      </c>
      <c r="C5" s="7">
        <v>28.106999999999999</v>
      </c>
      <c r="D5" s="7">
        <f>32251/1000</f>
        <v>32.250999999999998</v>
      </c>
      <c r="E5" s="7">
        <f>27045/1000</f>
        <v>27.045000000000002</v>
      </c>
      <c r="F5" s="7">
        <f>SUM(B5:E5)</f>
        <v>135.536</v>
      </c>
      <c r="G5" s="10">
        <f>(F5-F4)/F4</f>
        <v>-6.6061203255169676E-2</v>
      </c>
      <c r="H5" s="8" t="s">
        <v>156</v>
      </c>
      <c r="I5" s="12" t="s">
        <v>145</v>
      </c>
    </row>
    <row r="6" spans="1:9" ht="21.75" customHeight="1" x14ac:dyDescent="0.25">
      <c r="A6" s="6">
        <v>2024</v>
      </c>
      <c r="B6" s="7">
        <f>77658/1000</f>
        <v>77.658000000000001</v>
      </c>
      <c r="C6" s="7">
        <f>44477/1000</f>
        <v>44.476999999999997</v>
      </c>
      <c r="D6" s="7">
        <f>52535/1000</f>
        <v>52.534999999999997</v>
      </c>
      <c r="E6" s="7">
        <f>37256/1000</f>
        <v>37.256</v>
      </c>
      <c r="F6" s="7">
        <f>SUM(B6:E6)</f>
        <v>211.92599999999999</v>
      </c>
      <c r="G6" s="10">
        <f>(F6-F5)/F5</f>
        <v>0.56361409514815242</v>
      </c>
      <c r="H6" s="8" t="s">
        <v>157</v>
      </c>
      <c r="I6" s="12" t="s">
        <v>145</v>
      </c>
    </row>
    <row r="7" spans="1:9" ht="21.75" customHeight="1" x14ac:dyDescent="0.25">
      <c r="A7" s="6">
        <v>2025</v>
      </c>
      <c r="B7" s="7">
        <f>128320/1000</f>
        <v>128.32</v>
      </c>
      <c r="C7" s="7">
        <f>64551/1000</f>
        <v>64.551000000000002</v>
      </c>
      <c r="D7" s="7">
        <f>91447/1000</f>
        <v>91.447000000000003</v>
      </c>
      <c r="E7" s="7">
        <f>69691/1000</f>
        <v>69.691000000000003</v>
      </c>
      <c r="F7" s="7">
        <f>SUM(B7:E7)</f>
        <v>354.00900000000001</v>
      </c>
      <c r="G7" s="10">
        <f>(F7-F6)/F6</f>
        <v>0.6704368505987941</v>
      </c>
      <c r="H7" s="8" t="s">
        <v>158</v>
      </c>
      <c r="I7" s="12" t="s">
        <v>145</v>
      </c>
    </row>
  </sheetData>
  <hyperlinks>
    <hyperlink ref="I3" r:id="rId1" xr:uid="{6EF7412F-759B-49F9-886A-61D9B8421333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DRAM_Pricing</vt:lpstr>
      <vt:lpstr>Enterprise_Pricing</vt:lpstr>
      <vt:lpstr>Hyperscaler_Capex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Jacob, Kia Capree</dc:creator>
  <cp:lastModifiedBy>Kia Jacob</cp:lastModifiedBy>
  <dcterms:created xsi:type="dcterms:W3CDTF">2026-03-24T12:52:55Z</dcterms:created>
  <dcterms:modified xsi:type="dcterms:W3CDTF">2026-03-24T12:52:55Z</dcterms:modified>
</cp:coreProperties>
</file>