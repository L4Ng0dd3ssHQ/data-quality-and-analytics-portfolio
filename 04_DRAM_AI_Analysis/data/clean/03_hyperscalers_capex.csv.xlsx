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ade69915cbca5/Documents/"/>
    </mc:Choice>
  </mc:AlternateContent>
  <xr:revisionPtr revIDLastSave="0" documentId="8_{2A45C29F-598A-4690-9507-A0C9D0B00C57}" xr6:coauthVersionLast="47" xr6:coauthVersionMax="47" xr10:uidLastSave="{00000000-0000-0000-0000-000000000000}"/>
  <bookViews>
    <workbookView xWindow="12948" yWindow="2244" windowWidth="9072" windowHeight="9840" xr2:uid="{C7D89208-790D-4A4E-BED9-D9B80F0896DF}"/>
  </bookViews>
  <sheets>
    <sheet name="03_hyperscalers_cap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F7" i="1" s="1"/>
  <c r="G7" i="1" s="1"/>
  <c r="F6" i="1"/>
  <c r="E6" i="1"/>
  <c r="D6" i="1"/>
  <c r="C6" i="1"/>
  <c r="B6" i="1"/>
  <c r="E5" i="1"/>
  <c r="D5" i="1"/>
  <c r="B5" i="1"/>
  <c r="F5" i="1" s="1"/>
  <c r="G5" i="1" s="1"/>
  <c r="D4" i="1"/>
  <c r="B4" i="1"/>
  <c r="F4" i="1" s="1"/>
  <c r="E3" i="1"/>
  <c r="D3" i="1"/>
  <c r="F3" i="1" s="1"/>
  <c r="B3" i="1"/>
  <c r="D2" i="1"/>
  <c r="C2" i="1"/>
  <c r="B2" i="1"/>
  <c r="F2" i="1" s="1"/>
  <c r="G4" i="1" l="1"/>
  <c r="G3" i="1"/>
  <c r="G6" i="1"/>
</calcChain>
</file>

<file path=xl/sharedStrings.xml><?xml version="1.0" encoding="utf-8"?>
<sst xmlns="http://schemas.openxmlformats.org/spreadsheetml/2006/main" count="21" uniqueCount="16">
  <si>
    <t>Year</t>
  </si>
  <si>
    <t>Amazon_AWS_Capex_B</t>
  </si>
  <si>
    <t>Microsoft_Azure_Capex_B</t>
  </si>
  <si>
    <t>Google_Cloud_Capex_B</t>
  </si>
  <si>
    <t>Meta_Capex_B</t>
  </si>
  <si>
    <t>Total_4_Hyperscalers_B</t>
  </si>
  <si>
    <t>YoY_Growth_Pct</t>
  </si>
  <si>
    <t>Primary_Driver_Note</t>
  </si>
  <si>
    <t>Source</t>
  </si>
  <si>
    <t>Pre-AI baseline</t>
  </si>
  <si>
    <t>https://www.sec.gov/edgar</t>
  </si>
  <si>
    <t>Cloud expansion post-COVID</t>
  </si>
  <si>
    <t>Hyperscaler build-out peaks pre-slowdown</t>
  </si>
  <si>
    <t>Pullback year — then AI pivot late 2023</t>
  </si>
  <si>
    <t>AI GPU and memory procurement surge</t>
  </si>
  <si>
    <t>AI infrastructure arms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</si>
</sst>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&quot; B&quot;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name val="Aptos Narrow"/>
      <family val="2"/>
    </font>
    <font>
      <sz val="11"/>
      <name val="Calibri"/>
      <family val="2"/>
      <charset val="1"/>
    </font>
    <font>
      <sz val="10"/>
      <name val="Aptos Narrow"/>
      <family val="2"/>
    </font>
    <font>
      <u/>
      <sz val="11"/>
      <color theme="10"/>
      <name val="Calibri"/>
      <family val="2"/>
      <charset val="1"/>
    </font>
    <font>
      <u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7F6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E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3" fillId="3" borderId="0" xfId="2" applyFont="1" applyFill="1"/>
    <xf numFmtId="0" fontId="4" fillId="4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left" vertical="center"/>
    </xf>
    <xf numFmtId="0" fontId="2" fillId="0" borderId="0" xfId="2" applyFont="1"/>
    <xf numFmtId="0" fontId="3" fillId="0" borderId="0" xfId="2" applyFont="1"/>
    <xf numFmtId="165" fontId="4" fillId="4" borderId="1" xfId="2" applyNumberFormat="1" applyFont="1" applyFill="1" applyBorder="1" applyAlignment="1">
      <alignment horizontal="center" vertical="center"/>
    </xf>
    <xf numFmtId="0" fontId="6" fillId="3" borderId="0" xfId="1" applyFont="1" applyFill="1"/>
    <xf numFmtId="0" fontId="2" fillId="3" borderId="0" xfId="2" applyFont="1" applyFill="1"/>
    <xf numFmtId="0" fontId="1" fillId="0" borderId="0" xfId="2"/>
  </cellXfs>
  <cellStyles count="3">
    <cellStyle name="Hyperlink" xfId="1" builtinId="8"/>
    <cellStyle name="Normal" xfId="0" builtinId="0"/>
    <cellStyle name="Normal 2" xfId="2" xr:uid="{893D8F38-5877-481E-B7B1-E84BDD0ED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edg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BD67-ADF4-4E96-BE6E-D4678BCBEF0D}">
  <dimension ref="A1:L7"/>
  <sheetViews>
    <sheetView showGridLines="0" tabSelected="1" zoomScaleNormal="100" workbookViewId="0">
      <pane ySplit="1" topLeftCell="A2" activePane="bottomLeft" state="frozen"/>
      <selection pane="bottomLeft" activeCell="C13" sqref="C13"/>
    </sheetView>
  </sheetViews>
  <sheetFormatPr defaultColWidth="8.6640625" defaultRowHeight="14.4" x14ac:dyDescent="0.3"/>
  <cols>
    <col min="1" max="1" width="7" style="6" customWidth="1"/>
    <col min="2" max="2" width="32.109375" style="6" customWidth="1"/>
    <col min="3" max="3" width="40.88671875" style="6" customWidth="1"/>
    <col min="4" max="4" width="28.88671875" style="6" customWidth="1"/>
    <col min="5" max="5" width="24.5546875" style="6" customWidth="1"/>
    <col min="6" max="6" width="34.5546875" style="6" customWidth="1"/>
    <col min="7" max="7" width="27.88671875" style="6" customWidth="1"/>
    <col min="8" max="8" width="38" style="6" customWidth="1"/>
    <col min="9" max="9" width="26.33203125" style="6" customWidth="1"/>
    <col min="10" max="12" width="8.6640625" style="7"/>
    <col min="13" max="16384" width="8.6640625" style="11"/>
  </cols>
  <sheetData>
    <row r="1" spans="1:9" s="2" customFormat="1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75" customHeight="1" x14ac:dyDescent="0.3">
      <c r="A2" s="3">
        <v>2020</v>
      </c>
      <c r="B2" s="4">
        <f>35044/1000</f>
        <v>35.043999999999997</v>
      </c>
      <c r="C2" s="4">
        <f>15441/1000</f>
        <v>15.441000000000001</v>
      </c>
      <c r="D2" s="4">
        <f>22281/1000</f>
        <v>22.280999999999999</v>
      </c>
      <c r="E2" s="4">
        <v>15.115</v>
      </c>
      <c r="F2" s="4">
        <f t="shared" ref="F2:F7" si="0">SUM(B2:E2)</f>
        <v>87.880999999999986</v>
      </c>
      <c r="G2" s="3">
        <v>0</v>
      </c>
      <c r="H2" s="5" t="s">
        <v>9</v>
      </c>
      <c r="I2" s="6" t="s">
        <v>10</v>
      </c>
    </row>
    <row r="3" spans="1:9" ht="21.75" customHeight="1" x14ac:dyDescent="0.3">
      <c r="A3" s="3">
        <v>2021</v>
      </c>
      <c r="B3" s="4">
        <f>55396/1000</f>
        <v>55.396000000000001</v>
      </c>
      <c r="C3" s="4">
        <v>20.622</v>
      </c>
      <c r="D3" s="4">
        <f>24640/1000</f>
        <v>24.64</v>
      </c>
      <c r="E3" s="4">
        <f>18567/1000</f>
        <v>18.567</v>
      </c>
      <c r="F3" s="4">
        <f t="shared" si="0"/>
        <v>119.22499999999999</v>
      </c>
      <c r="G3" s="8">
        <f>(F3-F2)/F2</f>
        <v>0.35666412535132752</v>
      </c>
      <c r="H3" s="5" t="s">
        <v>11</v>
      </c>
      <c r="I3" s="9" t="s">
        <v>10</v>
      </c>
    </row>
    <row r="4" spans="1:9" ht="21.75" customHeight="1" x14ac:dyDescent="0.3">
      <c r="A4" s="3">
        <v>2022</v>
      </c>
      <c r="B4" s="4">
        <f>58321/1000</f>
        <v>58.320999999999998</v>
      </c>
      <c r="C4" s="4">
        <v>23.885999999999999</v>
      </c>
      <c r="D4" s="4">
        <f>31485/1000</f>
        <v>31.484999999999999</v>
      </c>
      <c r="E4" s="4">
        <v>31.431000000000001</v>
      </c>
      <c r="F4" s="4">
        <f t="shared" si="0"/>
        <v>145.12299999999999</v>
      </c>
      <c r="G4" s="8">
        <f>(F4-F3)/F3</f>
        <v>0.21721954288110712</v>
      </c>
      <c r="H4" s="5" t="s">
        <v>12</v>
      </c>
      <c r="I4" s="10" t="s">
        <v>10</v>
      </c>
    </row>
    <row r="5" spans="1:9" ht="21.75" customHeight="1" x14ac:dyDescent="0.3">
      <c r="A5" s="3">
        <v>2023</v>
      </c>
      <c r="B5" s="4">
        <f>48133/1000</f>
        <v>48.133000000000003</v>
      </c>
      <c r="C5" s="4">
        <v>28.106999999999999</v>
      </c>
      <c r="D5" s="4">
        <f>32251/1000</f>
        <v>32.250999999999998</v>
      </c>
      <c r="E5" s="4">
        <f>27045/1000</f>
        <v>27.045000000000002</v>
      </c>
      <c r="F5" s="4">
        <f t="shared" si="0"/>
        <v>135.536</v>
      </c>
      <c r="G5" s="8">
        <f>(F5-F4)/F4</f>
        <v>-6.6061203255169676E-2</v>
      </c>
      <c r="H5" s="5" t="s">
        <v>13</v>
      </c>
      <c r="I5" s="10" t="s">
        <v>10</v>
      </c>
    </row>
    <row r="6" spans="1:9" ht="21.75" customHeight="1" x14ac:dyDescent="0.3">
      <c r="A6" s="3">
        <v>2024</v>
      </c>
      <c r="B6" s="4">
        <f>77658/1000</f>
        <v>77.658000000000001</v>
      </c>
      <c r="C6" s="4">
        <f>44477/1000</f>
        <v>44.476999999999997</v>
      </c>
      <c r="D6" s="4">
        <f>52535/1000</f>
        <v>52.534999999999997</v>
      </c>
      <c r="E6" s="4">
        <f>37256/1000</f>
        <v>37.256</v>
      </c>
      <c r="F6" s="4">
        <f t="shared" si="0"/>
        <v>211.92599999999999</v>
      </c>
      <c r="G6" s="8">
        <f>(F6-F5)/F5</f>
        <v>0.56361409514815242</v>
      </c>
      <c r="H6" s="5" t="s">
        <v>14</v>
      </c>
      <c r="I6" s="10" t="s">
        <v>10</v>
      </c>
    </row>
    <row r="7" spans="1:9" ht="21.75" customHeight="1" x14ac:dyDescent="0.3">
      <c r="A7" s="3">
        <v>2025</v>
      </c>
      <c r="B7" s="4">
        <f>128320/1000</f>
        <v>128.32</v>
      </c>
      <c r="C7" s="4">
        <f>64551/1000</f>
        <v>64.551000000000002</v>
      </c>
      <c r="D7" s="4">
        <f>91447/1000</f>
        <v>91.447000000000003</v>
      </c>
      <c r="E7" s="4">
        <f>69691/1000</f>
        <v>69.691000000000003</v>
      </c>
      <c r="F7" s="4">
        <f t="shared" si="0"/>
        <v>354.00900000000001</v>
      </c>
      <c r="G7" s="8">
        <f>(F7-F6)/F6</f>
        <v>0.6704368505987941</v>
      </c>
      <c r="H7" s="5" t="s">
        <v>15</v>
      </c>
      <c r="I7" s="10" t="s">
        <v>10</v>
      </c>
    </row>
  </sheetData>
  <hyperlinks>
    <hyperlink ref="I3" r:id="rId1" xr:uid="{B22D9467-7675-47F0-A5B9-1D28D539B3F2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03_hyperscalers_capex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 Jacob</dc:creator>
  <cp:lastModifiedBy>Kia Jacob</cp:lastModifiedBy>
  <dcterms:created xsi:type="dcterms:W3CDTF">2026-03-24T14:44:24Z</dcterms:created>
  <dcterms:modified xsi:type="dcterms:W3CDTF">2026-03-24T14:45:53Z</dcterms:modified>
</cp:coreProperties>
</file>